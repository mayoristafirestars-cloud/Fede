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 externo" sheetId="1" state="visible" r:id="rId1"/>
    <sheet xmlns:r="http://schemas.openxmlformats.org/officeDocument/2006/relationships" name="Estructura" sheetId="2" state="visible" r:id="rId2"/>
    <sheet xmlns:r="http://schemas.openxmlformats.org/officeDocument/2006/relationships" name="Piloto Coronel Sur" sheetId="3" state="visible" r:id="rId3"/>
    <sheet xmlns:r="http://schemas.openxmlformats.org/officeDocument/2006/relationships" name="Clasificación de cob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12284C"/>
      <sz val="13"/>
    </font>
    <font>
      <i val="1"/>
      <color rgb="005A6375"/>
    </font>
    <font>
      <b val="1"/>
      <color rgb="00FFFFFF"/>
    </font>
    <font>
      <b val="1"/>
      <color rgb="0012284C"/>
    </font>
    <font>
      <b val="1"/>
    </font>
  </fonts>
  <fills count="5">
    <fill>
      <patternFill/>
    </fill>
    <fill>
      <patternFill patternType="gray125"/>
    </fill>
    <fill>
      <patternFill patternType="solid">
        <fgColor rgb="0012284C"/>
      </patternFill>
    </fill>
    <fill>
      <patternFill patternType="solid">
        <fgColor rgb="00FFF4C2"/>
      </patternFill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4" fontId="5" fillId="4" borderId="1" pivotButton="0" quotePrefix="0" xfId="0"/>
    <xf numFmtId="165" fontId="5" fillId="4" borderId="1" pivotButton="0" quotePrefix="0" xfId="0"/>
    <xf numFmtId="0" fontId="5" fillId="4" borderId="1" pivotButton="0" quotePrefix="0" xfId="0"/>
    <xf numFmtId="0" fontId="0" fillId="3" borderId="0" pivotButton="0" quotePrefix="0" xfId="0"/>
    <xf numFmtId="3" fontId="0" fillId="4" borderId="0" pivotButton="0" quotePrefix="0" xfId="0"/>
    <xf numFmtId="0" fontId="5" fillId="0" borderId="0" pivotButton="0" quotePrefix="0" xfId="0"/>
    <xf numFmtId="3" fontId="5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70" customWidth="1" min="4" max="4"/>
  </cols>
  <sheetData>
    <row r="1">
      <c r="A1" s="1" t="inlineStr">
        <is>
          <t>Copiloto de Caja — Economía por cliente externo (mensual, USD equivalentes)</t>
        </is>
      </c>
    </row>
    <row r="2">
      <c r="A2" s="2" t="inlineStr">
        <is>
          <t>Amarillo = supuesto a reemplazar con datos reales. Verde = cálculo. No usa los USD 230.000 de la propuesta de inversión.</t>
        </is>
      </c>
    </row>
    <row r="4">
      <c r="A4" s="3" t="inlineStr">
        <is>
          <t>Concepto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Nota / estado de evidencia</t>
        </is>
      </c>
    </row>
    <row r="5">
      <c r="A5" s="4" t="inlineStr">
        <is>
          <t>Ingresos</t>
        </is>
      </c>
    </row>
    <row r="6">
      <c r="A6" t="inlineStr">
        <is>
          <t>Implementación cobrada (única vez)</t>
        </is>
      </c>
      <c r="B6" s="5" t="n">
        <v>400</v>
      </c>
      <c r="C6" t="inlineStr">
        <is>
          <t>USD</t>
        </is>
      </c>
      <c r="D6" t="inlineStr">
        <is>
          <t>[Hipótesis] alcance cerrado: 1 fuente + 1 extracto</t>
        </is>
      </c>
    </row>
    <row r="7">
      <c r="A7" t="inlineStr">
        <is>
          <t>Abono mensual</t>
        </is>
      </c>
      <c r="B7" s="5" t="n">
        <v>150</v>
      </c>
      <c r="C7" t="inlineStr">
        <is>
          <t>USD/mes</t>
        </is>
      </c>
      <c r="D7" t="inlineStr">
        <is>
          <t>[Hipótesis] a validar con disposición a pagar</t>
        </is>
      </c>
    </row>
    <row r="8">
      <c r="A8" t="inlineStr">
        <is>
          <t>Variable opcional (resultados delimitados por contrato)</t>
        </is>
      </c>
      <c r="B8" s="5" t="n">
        <v>0</v>
      </c>
      <c r="C8" t="inlineStr">
        <is>
          <t>USD/mes</t>
        </is>
      </c>
      <c r="D8" t="inlineStr">
        <is>
          <t>[Hipótesis] 0 por defecto; nunca % de toda la recaudación</t>
        </is>
      </c>
    </row>
    <row r="9">
      <c r="A9" s="4" t="inlineStr">
        <is>
          <t>Costos variables por cliente</t>
        </is>
      </c>
    </row>
    <row r="10">
      <c r="A10" t="inlineStr">
        <is>
          <t>Horas reales de implementación</t>
        </is>
      </c>
      <c r="B10" s="5" t="n">
        <v>12</v>
      </c>
      <c r="C10" t="inlineStr">
        <is>
          <t>horas</t>
        </is>
      </c>
      <c r="D10" t="inlineStr">
        <is>
          <t>[Supuesto] medir en piloto</t>
        </is>
      </c>
    </row>
    <row r="11">
      <c r="A11" t="inlineStr">
        <is>
          <t>Costo por hora del equipo (remunerado)</t>
        </is>
      </c>
      <c r="B11" s="5" t="n">
        <v>15</v>
      </c>
      <c r="C11" t="inlineStr">
        <is>
          <t>USD/hora</t>
        </is>
      </c>
      <c r="D11" t="inlineStr">
        <is>
          <t>[Supuesto] incluye cargas; reemplazar por costo real</t>
        </is>
      </c>
    </row>
    <row r="12">
      <c r="A12" t="inlineStr">
        <is>
          <t>Minutos humanos de excepciones por mes</t>
        </is>
      </c>
      <c r="B12" s="5" t="n">
        <v>180</v>
      </c>
      <c r="C12" t="inlineStr">
        <is>
          <t>min/mes</t>
        </is>
      </c>
      <c r="D12" t="inlineStr">
        <is>
          <t>[Supuesto] métrica clave del piloto</t>
        </is>
      </c>
    </row>
    <row r="13">
      <c r="A13" t="inlineStr">
        <is>
          <t>Uso de IA (extracción y borradores)</t>
        </is>
      </c>
      <c r="B13" s="5" t="n">
        <v>8</v>
      </c>
      <c r="C13" t="inlineStr">
        <is>
          <t>USD/mes</t>
        </is>
      </c>
      <c r="D13" t="inlineStr">
        <is>
          <t>[Supuesto] depende de volumen de comprobantes</t>
        </is>
      </c>
    </row>
    <row r="14">
      <c r="A14" t="inlineStr">
        <is>
          <t>Canal y mensajería</t>
        </is>
      </c>
      <c r="B14" s="5" t="n">
        <v>0</v>
      </c>
      <c r="C14" t="inlineStr">
        <is>
          <t>USD/mes</t>
        </is>
      </c>
      <c r="D14" t="inlineStr">
        <is>
          <t>MVP con envío manual wa.me = 0. [Pendiente] costo API de WhatsApp si se activa</t>
        </is>
      </c>
    </row>
    <row r="15">
      <c r="A15" t="inlineStr">
        <is>
          <t>Infraestructura incremental</t>
        </is>
      </c>
      <c r="B15" s="5" t="n">
        <v>6</v>
      </c>
      <c r="C15" t="inlineStr">
        <is>
          <t>USD/mes</t>
        </is>
      </c>
      <c r="D15" t="inlineStr">
        <is>
          <t>[Supuesto]</t>
        </is>
      </c>
    </row>
    <row r="16">
      <c r="A16" t="inlineStr">
        <is>
          <t>Mantenimiento de integración (horas/mes)</t>
        </is>
      </c>
      <c r="B16" s="5" t="n">
        <v>1</v>
      </c>
      <c r="C16" t="inlineStr">
        <is>
          <t>horas/mes</t>
        </is>
      </c>
      <c r="D16" t="inlineStr">
        <is>
          <t>[Supuesto] cambios de formato de archivos</t>
        </is>
      </c>
    </row>
    <row r="17">
      <c r="A17" t="inlineStr">
        <is>
          <t>Costo de cobro del abono (pasarela/banco)</t>
        </is>
      </c>
      <c r="B17" s="6" t="n">
        <v>0.03</v>
      </c>
      <c r="C17" t="inlineStr">
        <is>
          <t>% del abono</t>
        </is>
      </c>
      <c r="D17" t="inlineStr">
        <is>
          <t>[Supuesto]</t>
        </is>
      </c>
    </row>
    <row r="18">
      <c r="A18" t="inlineStr">
        <is>
          <t>Impuestos sobre ingresos (ej. IIBB)</t>
        </is>
      </c>
      <c r="B18" s="6" t="n">
        <v>0</v>
      </c>
      <c r="C18" t="inlineStr">
        <is>
          <t>% del ingreso</t>
        </is>
      </c>
      <c r="D18" t="inlineStr">
        <is>
          <t>[Pendiente] validar con contador según jurisdicción y regímenes</t>
        </is>
      </c>
    </row>
    <row r="19">
      <c r="A19" s="4" t="inlineStr">
        <is>
          <t>Captación y bajas</t>
        </is>
      </c>
    </row>
    <row r="20">
      <c r="A20" t="inlineStr">
        <is>
          <t>Costo de captación por cliente</t>
        </is>
      </c>
      <c r="B20" s="5" t="n">
        <v>300</v>
      </c>
      <c r="C20" t="inlineStr">
        <is>
          <t>USD</t>
        </is>
      </c>
      <c r="D20" t="inlineStr">
        <is>
          <t>[Supuesto]</t>
        </is>
      </c>
    </row>
    <row r="21">
      <c r="A21" t="inlineStr">
        <is>
          <t>Baja mensual de clientes</t>
        </is>
      </c>
      <c r="B21" s="6" t="n">
        <v>0.03</v>
      </c>
      <c r="C21" t="inlineStr">
        <is>
          <t>%/mes</t>
        </is>
      </c>
      <c r="D21" t="inlineStr">
        <is>
          <t>[Supuesto]</t>
        </is>
      </c>
    </row>
    <row r="23">
      <c r="A23" s="4" t="inlineStr">
        <is>
          <t>Resultados</t>
        </is>
      </c>
    </row>
    <row r="24">
      <c r="A24" t="inlineStr">
        <is>
          <t>Ingreso mensual recurrente</t>
        </is>
      </c>
      <c r="B24" s="7">
        <f>B7+B8</f>
        <v/>
      </c>
      <c r="C24" t="inlineStr">
        <is>
          <t>USD/mes</t>
        </is>
      </c>
      <c r="D24" t="inlineStr"/>
    </row>
    <row r="25">
      <c r="A25" t="inlineStr">
        <is>
          <t>Costos variables mensuales</t>
        </is>
      </c>
      <c r="B25" s="7">
        <f>B12/60*B11+B13+B14+B15+B16*B11+B24*(B17+B18)</f>
        <v/>
      </c>
      <c r="C25" t="inlineStr">
        <is>
          <t>USD/mes</t>
        </is>
      </c>
      <c r="D25" t="inlineStr">
        <is>
          <t>excepciones + IA + canal + infra + mantenimiento + cobro + impuestos</t>
        </is>
      </c>
    </row>
    <row r="26">
      <c r="A26" t="inlineStr">
        <is>
          <t>Contribución mensual por cliente</t>
        </is>
      </c>
      <c r="B26" s="7">
        <f>B24-B25</f>
        <v/>
      </c>
      <c r="C26" t="inlineStr">
        <is>
          <t>USD/mes</t>
        </is>
      </c>
      <c r="D26" t="inlineStr">
        <is>
          <t>Antes de captación y estructura. NO es ganancia neta.</t>
        </is>
      </c>
    </row>
    <row r="27">
      <c r="A27" t="inlineStr">
        <is>
          <t>Resultado de la implementación</t>
        </is>
      </c>
      <c r="B27" s="7">
        <f>B6-B10*B11</f>
        <v/>
      </c>
      <c r="C27" t="inlineStr">
        <is>
          <t>USD</t>
        </is>
      </c>
      <c r="D27" t="inlineStr">
        <is>
          <t>precio cobrado - costo real</t>
        </is>
      </c>
    </row>
    <row r="28">
      <c r="A28" t="inlineStr">
        <is>
          <t>Vida media esperada</t>
        </is>
      </c>
      <c r="B28" s="8">
        <f>IF(B21&gt;0,1/B21,"∞")</f>
        <v/>
      </c>
      <c r="C28" t="inlineStr">
        <is>
          <t>meses</t>
        </is>
      </c>
      <c r="D28" t="inlineStr">
        <is>
          <t>1 / baja mensual</t>
        </is>
      </c>
    </row>
    <row r="29">
      <c r="A29" t="inlineStr">
        <is>
          <t>Contribución acumulada en la vida media</t>
        </is>
      </c>
      <c r="B29" s="7">
        <f>IF(B21&gt;0,B26*B28+B27,"n/a")</f>
        <v/>
      </c>
      <c r="C29" t="inlineStr">
        <is>
          <t>USD</t>
        </is>
      </c>
      <c r="D29" t="inlineStr"/>
    </row>
    <row r="30">
      <c r="A30" t="inlineStr">
        <is>
          <t>Meses para recuperar captación</t>
        </is>
      </c>
      <c r="B30" s="8">
        <f>IF(B26&gt;0,MAX(0,(B20-B27))/B26,"no recupera")</f>
        <v/>
      </c>
      <c r="C30" t="inlineStr">
        <is>
          <t>meses</t>
        </is>
      </c>
      <c r="D30" t="inlineStr"/>
    </row>
    <row r="31">
      <c r="A31" t="inlineStr">
        <is>
          <t>Relación contribución acumulada / captación</t>
        </is>
      </c>
      <c r="B31" s="8">
        <f>IF(AND(ISNUMBER(B29),B20&gt;0),B29/B20,"n/a")</f>
        <v/>
      </c>
      <c r="C31" t="inlineStr">
        <is>
          <t>veces</t>
        </is>
      </c>
      <c r="D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0" customWidth="1" min="4" max="4"/>
  </cols>
  <sheetData>
    <row r="1">
      <c r="A1" s="1" t="inlineStr">
        <is>
          <t>Estructura mensual y punto de equilibrio en cantidad de clientes</t>
        </is>
      </c>
    </row>
    <row r="2">
      <c r="A2" s="2" t="inlineStr">
        <is>
          <t>La estructura incluye remuneración del equipo. No incluir aquí horas ya cargadas como costo variable por cliente.</t>
        </is>
      </c>
    </row>
    <row r="4">
      <c r="A4" s="3" t="inlineStr">
        <is>
          <t>Concepto</t>
        </is>
      </c>
      <c r="B4" s="3" t="inlineStr">
        <is>
          <t>USD/mes</t>
        </is>
      </c>
      <c r="C4" s="3" t="inlineStr">
        <is>
          <t>Unidad</t>
        </is>
      </c>
      <c r="D4" s="3" t="inlineStr">
        <is>
          <t>Nota</t>
        </is>
      </c>
    </row>
    <row r="5">
      <c r="A5" t="inlineStr">
        <is>
          <t>Desarrollo y producto</t>
        </is>
      </c>
      <c r="B5" s="5" t="n">
        <v>2500</v>
      </c>
      <c r="C5" t="inlineStr">
        <is>
          <t>USD/mes</t>
        </is>
      </c>
      <c r="D5" t="inlineStr">
        <is>
          <t>[Supuesto] remuneración real</t>
        </is>
      </c>
    </row>
    <row r="6">
      <c r="A6" t="inlineStr">
        <is>
          <t>Operación y soporte (no atribuible a un cliente)</t>
        </is>
      </c>
      <c r="B6" s="5" t="n">
        <v>800</v>
      </c>
      <c r="C6" t="inlineStr">
        <is>
          <t>USD/mes</t>
        </is>
      </c>
      <c r="D6" t="inlineStr">
        <is>
          <t>[Supuesto]</t>
        </is>
      </c>
    </row>
    <row r="7">
      <c r="A7" t="inlineStr">
        <is>
          <t>Administración, contador, legal</t>
        </is>
      </c>
      <c r="B7" s="5" t="n">
        <v>300</v>
      </c>
      <c r="C7" t="inlineStr">
        <is>
          <t>USD/mes</t>
        </is>
      </c>
      <c r="D7" t="inlineStr">
        <is>
          <t>[Supuesto]</t>
        </is>
      </c>
    </row>
    <row r="8">
      <c r="A8" t="inlineStr">
        <is>
          <t>Herramientas y servicios fijos</t>
        </is>
      </c>
      <c r="B8" s="5" t="n">
        <v>150</v>
      </c>
      <c r="C8" t="inlineStr">
        <is>
          <t>USD/mes</t>
        </is>
      </c>
      <c r="D8" t="inlineStr">
        <is>
          <t>[Supuesto]</t>
        </is>
      </c>
    </row>
    <row r="9">
      <c r="A9" t="inlineStr">
        <is>
          <t>Estructura total</t>
        </is>
      </c>
      <c r="B9" s="9">
        <f>SUM(B5:B8)</f>
        <v/>
      </c>
      <c r="C9" t="inlineStr">
        <is>
          <t>USD/mes</t>
        </is>
      </c>
      <c r="D9" t="inlineStr"/>
    </row>
    <row r="10">
      <c r="A10" t="inlineStr">
        <is>
          <t>Clientes necesarios para cubrir estructura</t>
        </is>
      </c>
      <c r="B10" s="9">
        <f>IF('Cliente externo'!B26&gt;0,ROUNDUP(B9/'Cliente externo'!B26,0),"no alcanza")</f>
        <v/>
      </c>
      <c r="C10" t="inlineStr">
        <is>
          <t>clientes</t>
        </is>
      </c>
      <c r="D10" t="inlineStr">
        <is>
          <t>Estructura / contribución por cliente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55" customWidth="1" min="5" max="5"/>
  </cols>
  <sheetData>
    <row r="1">
      <c r="A1" s="1" t="inlineStr">
        <is>
          <t>Costo real del piloto en Coronel Sur (sin ingresos: Coronel Sur es el cliente piloto)</t>
        </is>
      </c>
    </row>
    <row r="3">
      <c r="A3" s="3" t="inlineStr">
        <is>
          <t>Hito</t>
        </is>
      </c>
      <c r="B3" s="3" t="inlineStr">
        <is>
          <t>Horas estimadas</t>
        </is>
      </c>
      <c r="C3" s="3" t="inlineStr">
        <is>
          <t>Costo/hora USD</t>
        </is>
      </c>
      <c r="D3" s="3" t="inlineStr">
        <is>
          <t>Costo USD</t>
        </is>
      </c>
      <c r="E3" s="3" t="inlineStr">
        <is>
          <t>Nota</t>
        </is>
      </c>
    </row>
    <row r="4">
      <c r="A4" t="inlineStr">
        <is>
          <t>H0 Base segura</t>
        </is>
      </c>
      <c r="B4" s="10" t="n">
        <v>40</v>
      </c>
      <c r="C4" s="10" t="n">
        <v>15</v>
      </c>
      <c r="D4" s="11">
        <f>B4*C4</f>
        <v/>
      </c>
      <c r="E4" t="inlineStr">
        <is>
          <t>[Supuesto] reemplazar con horas reales registradas</t>
        </is>
      </c>
    </row>
    <row r="5">
      <c r="A5" t="inlineStr">
        <is>
          <t>H1 Cartera</t>
        </is>
      </c>
      <c r="B5" s="10" t="n">
        <v>40</v>
      </c>
      <c r="C5" s="10" t="n">
        <v>15</v>
      </c>
      <c r="D5" s="11">
        <f>B5*C5</f>
        <v/>
      </c>
      <c r="E5" t="inlineStr">
        <is>
          <t>[Supuesto] reemplazar con horas reales registradas</t>
        </is>
      </c>
    </row>
    <row r="6">
      <c r="A6" t="inlineStr">
        <is>
          <t>H2 Movimientos y conciliación</t>
        </is>
      </c>
      <c r="B6" s="10" t="n">
        <v>60</v>
      </c>
      <c r="C6" s="10" t="n">
        <v>15</v>
      </c>
      <c r="D6" s="11">
        <f>B6*C6</f>
        <v/>
      </c>
      <c r="E6" t="inlineStr">
        <is>
          <t>[Supuesto] reemplazar con horas reales registradas</t>
        </is>
      </c>
    </row>
    <row r="7">
      <c r="A7" t="inlineStr">
        <is>
          <t>H3 Gestión y evidencia</t>
        </is>
      </c>
      <c r="B7" s="10" t="n">
        <v>40</v>
      </c>
      <c r="C7" s="10" t="n">
        <v>15</v>
      </c>
      <c r="D7" s="11">
        <f>B7*C7</f>
        <v/>
      </c>
      <c r="E7" t="inlineStr">
        <is>
          <t>[Supuesto] reemplazar con horas reales registradas</t>
        </is>
      </c>
    </row>
    <row r="8">
      <c r="A8" t="inlineStr">
        <is>
          <t>H4 Tablero y métricas</t>
        </is>
      </c>
      <c r="B8" s="10" t="n">
        <v>20</v>
      </c>
      <c r="C8" s="10" t="n">
        <v>15</v>
      </c>
      <c r="D8" s="11">
        <f>B8*C8</f>
        <v/>
      </c>
      <c r="E8" t="inlineStr">
        <is>
          <t>[Supuesto] reemplazar con horas reales registradas</t>
        </is>
      </c>
    </row>
    <row r="9">
      <c r="A9" t="inlineStr">
        <is>
          <t>H5 Piloto (soporte y medición)</t>
        </is>
      </c>
      <c r="B9" s="10" t="n">
        <v>40</v>
      </c>
      <c r="C9" s="10" t="n">
        <v>15</v>
      </c>
      <c r="D9" s="11">
        <f>B9*C9</f>
        <v/>
      </c>
      <c r="E9" t="inlineStr">
        <is>
          <t>[Supuesto] reemplazar con horas reales registradas</t>
        </is>
      </c>
    </row>
    <row r="10">
      <c r="A10" t="inlineStr">
        <is>
          <t>Infraestructura durante el piloto (total)</t>
        </is>
      </c>
      <c r="D10" s="10" t="n">
        <v>60</v>
      </c>
      <c r="E10" t="inlineStr">
        <is>
          <t>[Supuesto] base de datos + hosting</t>
        </is>
      </c>
    </row>
    <row r="11">
      <c r="A11" t="inlineStr">
        <is>
          <t>IA durante el piloto (total)</t>
        </is>
      </c>
      <c r="D11" s="10" t="n">
        <v>30</v>
      </c>
      <c r="E11" t="inlineStr">
        <is>
          <t>[Supuesto]</t>
        </is>
      </c>
    </row>
    <row r="12">
      <c r="A12" t="inlineStr">
        <is>
          <t>Asesoría legal/contable (total)</t>
        </is>
      </c>
      <c r="D12" s="10" t="n">
        <v>300</v>
      </c>
      <c r="E12" t="inlineStr">
        <is>
          <t>[Pendiente] datos personales y encuadre</t>
        </is>
      </c>
    </row>
    <row r="13">
      <c r="A13" s="12" t="inlineStr">
        <is>
          <t>Costo total del piloto</t>
        </is>
      </c>
      <c r="D13" s="13">
        <f>SUM(D4:D12)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28" customWidth="1" min="3" max="3"/>
  </cols>
  <sheetData>
    <row r="1">
      <c r="A1" s="1" t="inlineStr">
        <is>
          <t>Cómo se clasifica lo cobrado (para no confundir resultados)</t>
        </is>
      </c>
    </row>
    <row r="3">
      <c r="A3" s="3" t="inlineStr">
        <is>
          <t>Categoría</t>
        </is>
      </c>
      <c r="B3" s="3" t="inlineStr">
        <is>
          <t>Definición</t>
        </is>
      </c>
      <c r="C3" s="3" t="inlineStr">
        <is>
          <t>¿Puede llevar variable?</t>
        </is>
      </c>
    </row>
    <row r="4">
      <c r="A4" s="12" t="inlineStr">
        <is>
          <t>Cobro observado</t>
        </is>
      </c>
      <c r="B4" s="14" t="inlineStr">
        <is>
          <t>Todo lo acreditado en el período.</t>
        </is>
      </c>
      <c r="C4" t="inlineStr">
        <is>
          <t>No</t>
        </is>
      </c>
    </row>
    <row r="5">
      <c r="A5" s="12" t="inlineStr">
        <is>
          <t>Pago preexistente identificado</t>
        </is>
      </c>
      <c r="B5" s="14" t="inlineStr">
        <is>
          <t>Pago que ya había ingresado y el sistema sólo identificó o imputó. Regulariza documentación; no es caja nueva.</t>
        </is>
      </c>
      <c r="C5" t="inlineStr">
        <is>
          <t>No</t>
        </is>
      </c>
    </row>
    <row r="6">
      <c r="A6" s="12" t="inlineStr">
        <is>
          <t>Cobro atribuible contractualmente</t>
        </is>
      </c>
      <c r="B6" s="14" t="inlineStr">
        <is>
          <t>Cobro de cartera delimitada en contrato y gestionada por el sistema.</t>
        </is>
      </c>
      <c r="C6" t="inlineStr">
        <is>
          <t>Sólo si el contrato lo define</t>
        </is>
      </c>
    </row>
    <row r="7">
      <c r="A7" s="12" t="inlineStr">
        <is>
          <t>Cobro acelerado</t>
        </is>
      </c>
      <c r="B7" s="14" t="inlineStr">
        <is>
          <t>Cobro que ingresó antes que en cohortes comparables. Beneficio = costo financiero de los días ganados, no el principal.</t>
        </is>
      </c>
      <c r="C7" t="inlineStr">
        <is>
          <t>Sólo si el contrato lo define</t>
        </is>
      </c>
    </row>
    <row r="8">
      <c r="A8" s="12" t="inlineStr">
        <is>
          <t>Cobro incremental</t>
        </is>
      </c>
      <c r="B8" s="14" t="inlineStr">
        <is>
          <t>Cobro que no se habría obtenido sin la gestión. Requiere comparación de cohortes; difícil de probar.</t>
        </is>
      </c>
      <c r="C8" t="inlineStr">
        <is>
          <t>Sólo con método acordado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2026-10-21T11:25:01Z</dcterms:created>
  <dcterms:modified xmlns:dcterms="http://purl.org/dc/terms/" xmlns:xsi="http://www.w3.org/2001/XMLSchema-instance" xsi:type="dcterms:W3CDTF">2026-10-21T11:25:01Z</dcterms:modified>
</cp:coreProperties>
</file>