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 hoy" sheetId="1" state="visible" r:id="rId1"/>
    <sheet name="Seguimiento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u$s #,##0;(u$s #,##0);-"/>
  </numFmts>
  <fonts count="8">
    <font>
      <name val="Calibri"/>
      <family val="2"/>
      <color theme="1"/>
      <sz val="11"/>
      <scheme val="minor"/>
    </font>
    <font>
      <name val="Arial"/>
      <b val="1"/>
      <color rgb="000B3D2E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b val="1"/>
      <color rgb="000B3D2E"/>
      <sz val="12"/>
    </font>
  </fonts>
  <fills count="5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D9E8E2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0" borderId="0" pivotButton="0" quotePrefix="0" xfId="0"/>
    <xf numFmtId="164" fontId="6" fillId="4" borderId="1" pivotButton="0" quotePrefix="0" xfId="0"/>
    <xf numFmtId="0" fontId="5" fillId="0" borderId="0" pivotButton="0" quotePrefix="0" xfId="0"/>
    <xf numFmtId="166" fontId="6" fillId="4" borderId="1" pivotButton="0" quotePrefix="0" xfId="0"/>
    <xf numFmtId="164" fontId="5" fillId="0" borderId="0" pivotButton="0" quotePrefix="0" xfId="0"/>
    <xf numFmtId="166" fontId="7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4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8" customWidth="1" min="4" max="4"/>
    <col width="16" customWidth="1" min="5" max="5"/>
    <col width="18" customWidth="1" min="6" max="6"/>
    <col width="10" customWidth="1" min="7" max="7"/>
  </cols>
  <sheetData>
    <row r="1">
      <c r="A1" s="1" t="inlineStr">
        <is>
          <t>Cartera de Fede — foto al 13/08/2026</t>
        </is>
      </c>
    </row>
    <row r="2">
      <c r="A2" s="2" t="inlineStr">
        <is>
          <t>Rendimiento = Valor actual − Costo (lo que pagaste). En pesos. Abajo, el total real en dólares.</t>
        </is>
      </c>
    </row>
    <row r="4">
      <c r="A4" s="3" t="inlineStr">
        <is>
          <t>Ticker</t>
        </is>
      </c>
      <c r="B4" s="3" t="inlineStr">
        <is>
          <t>Tipo</t>
        </is>
      </c>
      <c r="C4" s="3" t="inlineStr">
        <is>
          <t>Nominales</t>
        </is>
      </c>
      <c r="D4" s="3" t="inlineStr">
        <is>
          <t>Valor actual (ARS)</t>
        </is>
      </c>
      <c r="E4" s="3" t="inlineStr">
        <is>
          <t>Costo (ARS)</t>
        </is>
      </c>
      <c r="F4" s="3" t="inlineStr">
        <is>
          <t>Rendimiento (ARS)</t>
        </is>
      </c>
      <c r="G4" s="3" t="inlineStr">
        <is>
          <t>Rend. %</t>
        </is>
      </c>
    </row>
    <row r="5">
      <c r="A5" s="4" t="inlineStr">
        <is>
          <t>PAMP</t>
        </is>
      </c>
      <c r="B5" s="5" t="inlineStr">
        <is>
          <t>Acción AR</t>
        </is>
      </c>
      <c r="C5" s="5" t="n">
        <v>9</v>
      </c>
      <c r="D5" s="6" t="n">
        <v>44865</v>
      </c>
      <c r="E5" s="6" t="n">
        <v>46395</v>
      </c>
      <c r="F5" s="6">
        <f>D5-E5</f>
        <v/>
      </c>
      <c r="G5" s="7">
        <f>IF(E5=0,0,F5/E5)</f>
        <v/>
      </c>
    </row>
    <row r="6">
      <c r="A6" s="4" t="inlineStr">
        <is>
          <t>AMZN</t>
        </is>
      </c>
      <c r="B6" s="5" t="inlineStr">
        <is>
          <t>CEDEAR</t>
        </is>
      </c>
      <c r="C6" s="5" t="n">
        <v>10</v>
      </c>
      <c r="D6" s="6" t="n">
        <v>29200</v>
      </c>
      <c r="E6" s="6" t="n">
        <v>26600</v>
      </c>
      <c r="F6" s="6">
        <f>D6-E6</f>
        <v/>
      </c>
      <c r="G6" s="7">
        <f>IF(E6=0,0,F6/E6)</f>
        <v/>
      </c>
    </row>
    <row r="7">
      <c r="A7" s="4" t="inlineStr">
        <is>
          <t>AVGO</t>
        </is>
      </c>
      <c r="B7" s="5" t="inlineStr">
        <is>
          <t>CEDEAR</t>
        </is>
      </c>
      <c r="C7" s="5" t="n">
        <v>2</v>
      </c>
      <c r="D7" s="6" t="n">
        <v>34100</v>
      </c>
      <c r="E7" s="6" t="n">
        <v>31580</v>
      </c>
      <c r="F7" s="6">
        <f>D7-E7</f>
        <v/>
      </c>
      <c r="G7" s="7">
        <f>IF(E7=0,0,F7/E7)</f>
        <v/>
      </c>
    </row>
    <row r="8">
      <c r="A8" s="4" t="inlineStr">
        <is>
          <t>EEM</t>
        </is>
      </c>
      <c r="B8" s="5" t="inlineStr">
        <is>
          <t>CEDEAR ETF</t>
        </is>
      </c>
      <c r="C8" s="5" t="n">
        <v>6</v>
      </c>
      <c r="D8" s="6" t="n">
        <v>127080</v>
      </c>
      <c r="E8" s="6" t="n">
        <v>123180</v>
      </c>
      <c r="F8" s="6">
        <f>D8-E8</f>
        <v/>
      </c>
      <c r="G8" s="7">
        <f>IF(E8=0,0,F8/E8)</f>
        <v/>
      </c>
    </row>
    <row r="9">
      <c r="A9" s="4" t="inlineStr">
        <is>
          <t>EFA</t>
        </is>
      </c>
      <c r="B9" s="5" t="inlineStr">
        <is>
          <t>CEDEAR ETF</t>
        </is>
      </c>
      <c r="C9" s="5" t="n">
        <v>15</v>
      </c>
      <c r="D9" s="6" t="n">
        <v>143700</v>
      </c>
      <c r="E9" s="6" t="n">
        <v>140005</v>
      </c>
      <c r="F9" s="6">
        <f>D9-E9</f>
        <v/>
      </c>
      <c r="G9" s="7">
        <f>IF(E9=0,0,F9/E9)</f>
        <v/>
      </c>
    </row>
    <row r="10">
      <c r="A10" s="4" t="inlineStr">
        <is>
          <t>GLD</t>
        </is>
      </c>
      <c r="B10" s="5" t="inlineStr">
        <is>
          <t>CEDEAR ETF</t>
        </is>
      </c>
      <c r="C10" s="5" t="n">
        <v>4</v>
      </c>
      <c r="D10" s="6" t="n">
        <v>50640</v>
      </c>
      <c r="E10" s="6" t="n">
        <v>49240</v>
      </c>
      <c r="F10" s="6">
        <f>D10-E10</f>
        <v/>
      </c>
      <c r="G10" s="7">
        <f>IF(E10=0,0,F10/E10)</f>
        <v/>
      </c>
    </row>
    <row r="11">
      <c r="A11" s="4" t="inlineStr">
        <is>
          <t>GOOGL</t>
        </is>
      </c>
      <c r="B11" s="5" t="inlineStr">
        <is>
          <t>CEDEAR</t>
        </is>
      </c>
      <c r="C11" s="5" t="n">
        <v>2</v>
      </c>
      <c r="D11" s="6" t="n">
        <v>18940</v>
      </c>
      <c r="E11" s="6" t="n">
        <v>19130</v>
      </c>
      <c r="F11" s="6">
        <f>D11-E11</f>
        <v/>
      </c>
      <c r="G11" s="7">
        <f>IF(E11=0,0,F11/E11)</f>
        <v/>
      </c>
    </row>
    <row r="12">
      <c r="A12" s="4" t="inlineStr">
        <is>
          <t>IBIT</t>
        </is>
      </c>
      <c r="B12" s="5" t="inlineStr">
        <is>
          <t>CEDEAR ETF</t>
        </is>
      </c>
      <c r="C12" s="5" t="n">
        <v>8</v>
      </c>
      <c r="D12" s="6" t="n">
        <v>45560</v>
      </c>
      <c r="E12" s="6" t="n">
        <v>46440</v>
      </c>
      <c r="F12" s="6">
        <f>D12-E12</f>
        <v/>
      </c>
      <c r="G12" s="7">
        <f>IF(E12=0,0,F12/E12)</f>
        <v/>
      </c>
    </row>
    <row r="13">
      <c r="A13" s="4" t="inlineStr">
        <is>
          <t>JNJ</t>
        </is>
      </c>
      <c r="B13" s="5" t="inlineStr">
        <is>
          <t>CEDEAR</t>
        </is>
      </c>
      <c r="C13" s="5" t="n">
        <v>3</v>
      </c>
      <c r="D13" s="6" t="n">
        <v>82860</v>
      </c>
      <c r="E13" s="6" t="n">
        <v>81120</v>
      </c>
      <c r="F13" s="6">
        <f>D13-E13</f>
        <v/>
      </c>
      <c r="G13" s="7">
        <f>IF(E13=0,0,F13/E13)</f>
        <v/>
      </c>
    </row>
    <row r="14">
      <c r="A14" s="4" t="inlineStr">
        <is>
          <t>JPM</t>
        </is>
      </c>
      <c r="B14" s="5" t="inlineStr">
        <is>
          <t>CEDEAR</t>
        </is>
      </c>
      <c r="C14" s="5" t="n">
        <v>2</v>
      </c>
      <c r="D14" s="6" t="n">
        <v>76800</v>
      </c>
      <c r="E14" s="6" t="n">
        <v>75680</v>
      </c>
      <c r="F14" s="6">
        <f>D14-E14</f>
        <v/>
      </c>
      <c r="G14" s="7">
        <f>IF(E14=0,0,F14/E14)</f>
        <v/>
      </c>
    </row>
    <row r="15">
      <c r="A15" s="4" t="inlineStr">
        <is>
          <t>MELI</t>
        </is>
      </c>
      <c r="B15" s="5" t="inlineStr">
        <is>
          <t>CEDEAR</t>
        </is>
      </c>
      <c r="C15" s="5" t="n">
        <v>1</v>
      </c>
      <c r="D15" s="6" t="n">
        <v>24110</v>
      </c>
      <c r="E15" s="6" t="n">
        <v>24300</v>
      </c>
      <c r="F15" s="6">
        <f>D15-E15</f>
        <v/>
      </c>
      <c r="G15" s="7">
        <f>IF(E15=0,0,F15/E15)</f>
        <v/>
      </c>
    </row>
    <row r="16">
      <c r="A16" s="4" t="inlineStr">
        <is>
          <t>MSFT</t>
        </is>
      </c>
      <c r="B16" s="5" t="inlineStr">
        <is>
          <t>CEDEAR</t>
        </is>
      </c>
      <c r="C16" s="5" t="n">
        <v>4</v>
      </c>
      <c r="D16" s="6" t="n">
        <v>104640</v>
      </c>
      <c r="E16" s="6" t="n">
        <v>80630</v>
      </c>
      <c r="F16" s="6">
        <f>D16-E16</f>
        <v/>
      </c>
      <c r="G16" s="7">
        <f>IF(E16=0,0,F16/E16)</f>
        <v/>
      </c>
    </row>
    <row r="17">
      <c r="A17" s="4" t="inlineStr">
        <is>
          <t>NU</t>
        </is>
      </c>
      <c r="B17" s="5" t="inlineStr">
        <is>
          <t>CEDEAR</t>
        </is>
      </c>
      <c r="C17" s="5" t="n">
        <v>9</v>
      </c>
      <c r="D17" s="6" t="n">
        <v>99090</v>
      </c>
      <c r="E17" s="6" t="n">
        <v>101360</v>
      </c>
      <c r="F17" s="6">
        <f>D17-E17</f>
        <v/>
      </c>
      <c r="G17" s="7">
        <f>IF(E17=0,0,F17/E17)</f>
        <v/>
      </c>
    </row>
    <row r="18">
      <c r="A18" s="4" t="inlineStr">
        <is>
          <t>SPGI</t>
        </is>
      </c>
      <c r="B18" s="5" t="inlineStr">
        <is>
          <t>CEDEAR</t>
        </is>
      </c>
      <c r="C18" s="5" t="n">
        <v>6</v>
      </c>
      <c r="D18" s="6" t="n">
        <v>89160</v>
      </c>
      <c r="E18" s="6" t="n">
        <v>87460</v>
      </c>
      <c r="F18" s="6">
        <f>D18-E18</f>
        <v/>
      </c>
      <c r="G18" s="7">
        <f>IF(E18=0,0,F18/E18)</f>
        <v/>
      </c>
    </row>
    <row r="19">
      <c r="A19" s="4" t="inlineStr">
        <is>
          <t>SPY</t>
        </is>
      </c>
      <c r="B19" s="5" t="inlineStr">
        <is>
          <t>CEDEAR ETF</t>
        </is>
      </c>
      <c r="C19" s="5" t="n">
        <v>2</v>
      </c>
      <c r="D19" s="6" t="n">
        <v>41120</v>
      </c>
      <c r="E19" s="6" t="n">
        <v>40010</v>
      </c>
      <c r="F19" s="6">
        <f>D19-E19</f>
        <v/>
      </c>
      <c r="G19" s="7">
        <f>IF(E19=0,0,F19/E19)</f>
        <v/>
      </c>
    </row>
    <row r="20">
      <c r="A20" s="4" t="inlineStr">
        <is>
          <t>TJX</t>
        </is>
      </c>
      <c r="B20" s="5" t="inlineStr">
        <is>
          <t>CEDEAR</t>
        </is>
      </c>
      <c r="C20" s="5" t="n">
        <v>3</v>
      </c>
      <c r="D20" s="6" t="n">
        <v>33450</v>
      </c>
      <c r="E20" s="6" t="n">
        <v>33900</v>
      </c>
      <c r="F20" s="6">
        <f>D20-E20</f>
        <v/>
      </c>
      <c r="G20" s="7">
        <f>IF(E20=0,0,F20/E20)</f>
        <v/>
      </c>
    </row>
    <row r="21">
      <c r="A21" s="4" t="inlineStr">
        <is>
          <t>TSM</t>
        </is>
      </c>
      <c r="B21" s="5" t="inlineStr">
        <is>
          <t>CEDEAR</t>
        </is>
      </c>
      <c r="C21" s="5" t="n">
        <v>3</v>
      </c>
      <c r="D21" s="6" t="n">
        <v>228750</v>
      </c>
      <c r="E21" s="6" t="n">
        <v>216050</v>
      </c>
      <c r="F21" s="6">
        <f>D21-E21</f>
        <v/>
      </c>
      <c r="G21" s="7">
        <f>IF(E21=0,0,F21/E21)</f>
        <v/>
      </c>
    </row>
    <row r="22">
      <c r="A22" s="4" t="inlineStr">
        <is>
          <t>UNH</t>
        </is>
      </c>
      <c r="B22" s="5" t="inlineStr">
        <is>
          <t>CEDEAR</t>
        </is>
      </c>
      <c r="C22" s="5" t="n">
        <v>2</v>
      </c>
      <c r="D22" s="6" t="n">
        <v>38360</v>
      </c>
      <c r="E22" s="6" t="n">
        <v>39680</v>
      </c>
      <c r="F22" s="6">
        <f>D22-E22</f>
        <v/>
      </c>
      <c r="G22" s="7">
        <f>IF(E22=0,0,F22/E22)</f>
        <v/>
      </c>
    </row>
    <row r="23">
      <c r="A23" s="4" t="inlineStr">
        <is>
          <t>V</t>
        </is>
      </c>
      <c r="B23" s="5" t="inlineStr">
        <is>
          <t>CEDEAR</t>
        </is>
      </c>
      <c r="C23" s="5" t="n">
        <v>3</v>
      </c>
      <c r="D23" s="6" t="n">
        <v>95820</v>
      </c>
      <c r="E23" s="6" t="n">
        <v>94340</v>
      </c>
      <c r="F23" s="6">
        <f>D23-E23</f>
        <v/>
      </c>
      <c r="G23" s="7">
        <f>IF(E23=0,0,F23/E23)</f>
        <v/>
      </c>
    </row>
    <row r="24">
      <c r="A24" s="4" t="inlineStr">
        <is>
          <t>XOM</t>
        </is>
      </c>
      <c r="B24" s="5" t="inlineStr">
        <is>
          <t>CEDEAR</t>
        </is>
      </c>
      <c r="C24" s="5" t="n">
        <v>3</v>
      </c>
      <c r="D24" s="6" t="n">
        <v>75240</v>
      </c>
      <c r="E24" s="6" t="n">
        <v>72300</v>
      </c>
      <c r="F24" s="6">
        <f>D24-E24</f>
        <v/>
      </c>
      <c r="G24" s="7">
        <f>IF(E24=0,0,F24/E24)</f>
        <v/>
      </c>
    </row>
    <row r="25">
      <c r="A25" s="8" t="inlineStr">
        <is>
          <t>TOTAL acciones</t>
        </is>
      </c>
      <c r="B25" s="9" t="n"/>
      <c r="C25" s="9" t="n"/>
      <c r="D25" s="10">
        <f>SUM(D5:D24)</f>
        <v/>
      </c>
      <c r="E25" s="10">
        <f>SUM(E5:E24)</f>
        <v/>
      </c>
      <c r="F25" s="10">
        <f>SUM(F5:F24)</f>
        <v/>
      </c>
      <c r="G25" s="11">
        <f>IF(E25=0,0,F25/E25)</f>
        <v/>
      </c>
    </row>
    <row r="27">
      <c r="A27" s="1" t="inlineStr">
        <is>
          <t>Resumen en dólares</t>
        </is>
      </c>
    </row>
    <row r="28">
      <c r="A28" s="12" t="inlineStr">
        <is>
          <t>Dólar CCL (editá con el del día)</t>
        </is>
      </c>
      <c r="D28" s="13" t="n">
        <v>1520</v>
      </c>
    </row>
    <row r="29">
      <c r="A29" s="14" t="inlineStr">
        <is>
          <t>Renta fija BAHUSDA (u$s)</t>
        </is>
      </c>
      <c r="D29" s="15" t="n">
        <v>147</v>
      </c>
    </row>
    <row r="30">
      <c r="A30" s="14" t="inlineStr">
        <is>
          <t>Acciones (ARS)</t>
        </is>
      </c>
      <c r="D30" s="16">
        <f>D25</f>
        <v/>
      </c>
    </row>
    <row r="31">
      <c r="A31" s="14" t="inlineStr">
        <is>
          <t>Total inversión (ARS)  = acciones + BAHUSDA×CCL</t>
        </is>
      </c>
      <c r="D31" s="16">
        <f>D30+D29*D28</f>
        <v/>
      </c>
    </row>
    <row r="32">
      <c r="A32" s="12" t="inlineStr">
        <is>
          <t>TOTAL INVERSIÓN (u$s)  = total ARS ÷ CCL</t>
        </is>
      </c>
      <c r="D32" s="17">
        <f>D31/D28</f>
        <v/>
      </c>
    </row>
    <row r="34">
      <c r="A34" s="2" t="inlineStr">
        <is>
          <t>Fondo de emergencia BCMMA (aparte, no es inversión)</t>
        </is>
      </c>
      <c r="D34" s="18" t="n">
        <v>105693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1" customWidth="1" min="4" max="4"/>
    <col width="15" customWidth="1" min="5" max="5"/>
    <col width="16" customWidth="1" min="6" max="6"/>
    <col width="18" customWidth="1" min="7" max="7"/>
    <col width="16" customWidth="1" min="8" max="8"/>
    <col width="11" customWidth="1" min="9" max="9"/>
  </cols>
  <sheetData>
    <row r="1">
      <c r="A1" s="1" t="inlineStr">
        <is>
          <t>Seguimiento mensual — ¿cuánto gano DE VERDAD? (en dólares)</t>
        </is>
      </c>
    </row>
    <row r="2">
      <c r="A2" s="2" t="inlineStr">
        <is>
          <t>Una fila por mes. Llená solo las celdas amarillas; el resto se calcula solo.</t>
        </is>
      </c>
    </row>
    <row r="4" ht="40" customHeight="1">
      <c r="A4" s="19" t="inlineStr">
        <is>
          <t>Fecha</t>
        </is>
      </c>
      <c r="B4" s="19" t="inlineStr">
        <is>
          <t>Valor acciones+fondos (ARS)</t>
        </is>
      </c>
      <c r="C4" s="19" t="inlineStr">
        <is>
          <t>BAHUSDA (u$s)</t>
        </is>
      </c>
      <c r="D4" s="19" t="inlineStr">
        <is>
          <t>Dólar CCL</t>
        </is>
      </c>
      <c r="E4" s="19" t="inlineStr">
        <is>
          <t>Valor total (u$s)</t>
        </is>
      </c>
      <c r="F4" s="19" t="inlineStr">
        <is>
          <t>Aporte del mes (u$s)</t>
        </is>
      </c>
      <c r="G4" s="19" t="inlineStr">
        <is>
          <t>Aporte acumulado (u$s)</t>
        </is>
      </c>
      <c r="H4" s="19" t="inlineStr">
        <is>
          <t>Ganancia real (u$s)</t>
        </is>
      </c>
      <c r="I4" s="19" t="inlineStr">
        <is>
          <t>Ganancia %</t>
        </is>
      </c>
    </row>
    <row r="5">
      <c r="A5" s="20" t="inlineStr">
        <is>
          <t>13/08/2026</t>
        </is>
      </c>
      <c r="B5" s="13" t="n">
        <v>1483485</v>
      </c>
      <c r="C5" s="15" t="n">
        <v>147</v>
      </c>
      <c r="D5" s="13" t="n">
        <v>1520</v>
      </c>
      <c r="E5" s="21">
        <f>B5/D5+C5</f>
        <v/>
      </c>
      <c r="F5" s="15" t="n">
        <v>0</v>
      </c>
      <c r="G5" s="15" t="n">
        <v>1106</v>
      </c>
      <c r="H5" s="21">
        <f>E5-G5</f>
        <v/>
      </c>
      <c r="I5" s="7">
        <f>IF(G5=0,0,H5/G5)</f>
        <v/>
      </c>
    </row>
    <row r="6">
      <c r="A6" s="20" t="n"/>
      <c r="B6" s="13" t="n"/>
      <c r="C6" s="15" t="n"/>
      <c r="D6" s="13" t="n"/>
      <c r="E6" s="21">
        <f>IF(D6=0,0,B6/D6+C6)</f>
        <v/>
      </c>
      <c r="F6" s="15" t="n"/>
      <c r="G6" s="21">
        <f>G5+F6</f>
        <v/>
      </c>
      <c r="H6" s="21">
        <f>IF(E6=0,0,E6-G6)</f>
        <v/>
      </c>
      <c r="I6" s="7">
        <f>IF(G6=0,0,H6/G6)</f>
        <v/>
      </c>
    </row>
    <row r="7">
      <c r="A7" s="20" t="n"/>
      <c r="B7" s="13" t="n"/>
      <c r="C7" s="15" t="n"/>
      <c r="D7" s="13" t="n"/>
      <c r="E7" s="21">
        <f>IF(D7=0,0,B7/D7+C7)</f>
        <v/>
      </c>
      <c r="F7" s="15" t="n"/>
      <c r="G7" s="21">
        <f>G6+F7</f>
        <v/>
      </c>
      <c r="H7" s="21">
        <f>IF(E7=0,0,E7-G7)</f>
        <v/>
      </c>
      <c r="I7" s="7">
        <f>IF(G7=0,0,H7/G7)</f>
        <v/>
      </c>
    </row>
    <row r="8">
      <c r="A8" s="20" t="n"/>
      <c r="B8" s="13" t="n"/>
      <c r="C8" s="15" t="n"/>
      <c r="D8" s="13" t="n"/>
      <c r="E8" s="21">
        <f>IF(D8=0,0,B8/D8+C8)</f>
        <v/>
      </c>
      <c r="F8" s="15" t="n"/>
      <c r="G8" s="21">
        <f>G7+F8</f>
        <v/>
      </c>
      <c r="H8" s="21">
        <f>IF(E8=0,0,E8-G8)</f>
        <v/>
      </c>
      <c r="I8" s="7">
        <f>IF(G8=0,0,H8/G8)</f>
        <v/>
      </c>
    </row>
    <row r="9">
      <c r="A9" s="20" t="n"/>
      <c r="B9" s="13" t="n"/>
      <c r="C9" s="15" t="n"/>
      <c r="D9" s="13" t="n"/>
      <c r="E9" s="21">
        <f>IF(D9=0,0,B9/D9+C9)</f>
        <v/>
      </c>
      <c r="F9" s="15" t="n"/>
      <c r="G9" s="21">
        <f>G8+F9</f>
        <v/>
      </c>
      <c r="H9" s="21">
        <f>IF(E9=0,0,E9-G9)</f>
        <v/>
      </c>
      <c r="I9" s="7">
        <f>IF(G9=0,0,H9/G9)</f>
        <v/>
      </c>
    </row>
    <row r="10">
      <c r="A10" s="20" t="n"/>
      <c r="B10" s="13" t="n"/>
      <c r="C10" s="15" t="n"/>
      <c r="D10" s="13" t="n"/>
      <c r="E10" s="21">
        <f>IF(D10=0,0,B10/D10+C10)</f>
        <v/>
      </c>
      <c r="F10" s="15" t="n"/>
      <c r="G10" s="21">
        <f>G9+F10</f>
        <v/>
      </c>
      <c r="H10" s="21">
        <f>IF(E10=0,0,E10-G10)</f>
        <v/>
      </c>
      <c r="I10" s="7">
        <f>IF(G10=0,0,H10/G10)</f>
        <v/>
      </c>
    </row>
    <row r="11">
      <c r="A11" s="20" t="n"/>
      <c r="B11" s="13" t="n"/>
      <c r="C11" s="15" t="n"/>
      <c r="D11" s="13" t="n"/>
      <c r="E11" s="21">
        <f>IF(D11=0,0,B11/D11+C11)</f>
        <v/>
      </c>
      <c r="F11" s="15" t="n"/>
      <c r="G11" s="21">
        <f>G10+F11</f>
        <v/>
      </c>
      <c r="H11" s="21">
        <f>IF(E11=0,0,E11-G11)</f>
        <v/>
      </c>
      <c r="I11" s="7">
        <f>IF(G11=0,0,H11/G11)</f>
        <v/>
      </c>
    </row>
    <row r="12">
      <c r="A12" s="20" t="n"/>
      <c r="B12" s="13" t="n"/>
      <c r="C12" s="15" t="n"/>
      <c r="D12" s="13" t="n"/>
      <c r="E12" s="21">
        <f>IF(D12=0,0,B12/D12+C12)</f>
        <v/>
      </c>
      <c r="F12" s="15" t="n"/>
      <c r="G12" s="21">
        <f>G11+F12</f>
        <v/>
      </c>
      <c r="H12" s="21">
        <f>IF(E12=0,0,E12-G12)</f>
        <v/>
      </c>
      <c r="I12" s="7">
        <f>IF(G12=0,0,H12/G12)</f>
        <v/>
      </c>
    </row>
    <row r="13">
      <c r="A13" s="20" t="n"/>
      <c r="B13" s="13" t="n"/>
      <c r="C13" s="15" t="n"/>
      <c r="D13" s="13" t="n"/>
      <c r="E13" s="21">
        <f>IF(D13=0,0,B13/D13+C13)</f>
        <v/>
      </c>
      <c r="F13" s="15" t="n"/>
      <c r="G13" s="21">
        <f>G12+F13</f>
        <v/>
      </c>
      <c r="H13" s="21">
        <f>IF(E13=0,0,E13-G13)</f>
        <v/>
      </c>
      <c r="I13" s="7">
        <f>IF(G13=0,0,H13/G13)</f>
        <v/>
      </c>
    </row>
    <row r="14">
      <c r="A14" s="20" t="n"/>
      <c r="B14" s="13" t="n"/>
      <c r="C14" s="15" t="n"/>
      <c r="D14" s="13" t="n"/>
      <c r="E14" s="21">
        <f>IF(D14=0,0,B14/D14+C14)</f>
        <v/>
      </c>
      <c r="F14" s="15" t="n"/>
      <c r="G14" s="21">
        <f>G13+F14</f>
        <v/>
      </c>
      <c r="H14" s="21">
        <f>IF(E14=0,0,E14-G14)</f>
        <v/>
      </c>
      <c r="I14" s="7">
        <f>IF(G14=0,0,H14/G14)</f>
        <v/>
      </c>
    </row>
    <row r="15">
      <c r="A15" s="20" t="n"/>
      <c r="B15" s="13" t="n"/>
      <c r="C15" s="15" t="n"/>
      <c r="D15" s="13" t="n"/>
      <c r="E15" s="21">
        <f>IF(D15=0,0,B15/D15+C15)</f>
        <v/>
      </c>
      <c r="F15" s="15" t="n"/>
      <c r="G15" s="21">
        <f>G14+F15</f>
        <v/>
      </c>
      <c r="H15" s="21">
        <f>IF(E15=0,0,E15-G15)</f>
        <v/>
      </c>
      <c r="I15" s="7">
        <f>IF(G15=0,0,H15/G15)</f>
        <v/>
      </c>
    </row>
    <row r="16">
      <c r="A16" s="20" t="n"/>
      <c r="B16" s="13" t="n"/>
      <c r="C16" s="15" t="n"/>
      <c r="D16" s="13" t="n"/>
      <c r="E16" s="21">
        <f>IF(D16=0,0,B16/D16+C16)</f>
        <v/>
      </c>
      <c r="F16" s="15" t="n"/>
      <c r="G16" s="21">
        <f>G15+F16</f>
        <v/>
      </c>
      <c r="H16" s="21">
        <f>IF(E16=0,0,E16-G16)</f>
        <v/>
      </c>
      <c r="I16" s="7">
        <f>IF(G16=0,0,H16/G16)</f>
        <v/>
      </c>
    </row>
    <row r="17">
      <c r="A17" s="20" t="n"/>
      <c r="B17" s="13" t="n"/>
      <c r="C17" s="15" t="n"/>
      <c r="D17" s="13" t="n"/>
      <c r="E17" s="21">
        <f>IF(D17=0,0,B17/D17+C17)</f>
        <v/>
      </c>
      <c r="F17" s="15" t="n"/>
      <c r="G17" s="21">
        <f>G16+F17</f>
        <v/>
      </c>
      <c r="H17" s="21">
        <f>IF(E17=0,0,E17-G17)</f>
        <v/>
      </c>
      <c r="I17" s="7">
        <f>IF(G17=0,0,H17/G17)</f>
        <v/>
      </c>
    </row>
    <row r="18">
      <c r="A18" s="20" t="n"/>
      <c r="B18" s="13" t="n"/>
      <c r="C18" s="15" t="n"/>
      <c r="D18" s="13" t="n"/>
      <c r="E18" s="21">
        <f>IF(D18=0,0,B18/D18+C18)</f>
        <v/>
      </c>
      <c r="F18" s="15" t="n"/>
      <c r="G18" s="21">
        <f>G17+F18</f>
        <v/>
      </c>
      <c r="H18" s="21">
        <f>IF(E18=0,0,E18-G18)</f>
        <v/>
      </c>
      <c r="I18" s="7">
        <f>IF(G18=0,0,H18/G18)</f>
        <v/>
      </c>
    </row>
    <row r="19">
      <c r="A19" s="20" t="n"/>
      <c r="B19" s="13" t="n"/>
      <c r="C19" s="15" t="n"/>
      <c r="D19" s="13" t="n"/>
      <c r="E19" s="21">
        <f>IF(D19=0,0,B19/D19+C19)</f>
        <v/>
      </c>
      <c r="F19" s="15" t="n"/>
      <c r="G19" s="21">
        <f>G18+F19</f>
        <v/>
      </c>
      <c r="H19" s="21">
        <f>IF(E19=0,0,E19-G19)</f>
        <v/>
      </c>
      <c r="I19" s="7">
        <f>IF(G19=0,0,H19/G19)</f>
        <v/>
      </c>
    </row>
    <row r="20">
      <c r="A20" s="20" t="n"/>
      <c r="B20" s="13" t="n"/>
      <c r="C20" s="15" t="n"/>
      <c r="D20" s="13" t="n"/>
      <c r="E20" s="21">
        <f>IF(D20=0,0,B20/D20+C20)</f>
        <v/>
      </c>
      <c r="F20" s="15" t="n"/>
      <c r="G20" s="21">
        <f>G19+F20</f>
        <v/>
      </c>
      <c r="H20" s="21">
        <f>IF(E20=0,0,E20-G20)</f>
        <v/>
      </c>
      <c r="I20" s="7">
        <f>IF(G20=0,0,H20/G20)</f>
        <v/>
      </c>
    </row>
    <row r="21">
      <c r="A21" s="20" t="n"/>
      <c r="B21" s="13" t="n"/>
      <c r="C21" s="15" t="n"/>
      <c r="D21" s="13" t="n"/>
      <c r="E21" s="21">
        <f>IF(D21=0,0,B21/D21+C21)</f>
        <v/>
      </c>
      <c r="F21" s="15" t="n"/>
      <c r="G21" s="21">
        <f>G20+F21</f>
        <v/>
      </c>
      <c r="H21" s="21">
        <f>IF(E21=0,0,E21-G21)</f>
        <v/>
      </c>
      <c r="I21" s="7">
        <f>IF(G21=0,0,H21/G21)</f>
        <v/>
      </c>
    </row>
    <row r="22">
      <c r="A22" s="20" t="n"/>
      <c r="B22" s="13" t="n"/>
      <c r="C22" s="15" t="n"/>
      <c r="D22" s="13" t="n"/>
      <c r="E22" s="21">
        <f>IF(D22=0,0,B22/D22+C22)</f>
        <v/>
      </c>
      <c r="F22" s="15" t="n"/>
      <c r="G22" s="21">
        <f>G21+F22</f>
        <v/>
      </c>
      <c r="H22" s="21">
        <f>IF(E22=0,0,E22-G22)</f>
        <v/>
      </c>
      <c r="I22" s="7">
        <f>IF(G22=0,0,H22/G22)</f>
        <v/>
      </c>
    </row>
    <row r="23">
      <c r="A23" s="20" t="n"/>
      <c r="B23" s="13" t="n"/>
      <c r="C23" s="15" t="n"/>
      <c r="D23" s="13" t="n"/>
      <c r="E23" s="21">
        <f>IF(D23=0,0,B23/D23+C23)</f>
        <v/>
      </c>
      <c r="F23" s="15" t="n"/>
      <c r="G23" s="21">
        <f>G22+F23</f>
        <v/>
      </c>
      <c r="H23" s="21">
        <f>IF(E23=0,0,E23-G23)</f>
        <v/>
      </c>
      <c r="I23" s="7">
        <f>IF(G23=0,0,H23/G23)</f>
        <v/>
      </c>
    </row>
    <row r="24">
      <c r="A24" s="20" t="n"/>
      <c r="B24" s="13" t="n"/>
      <c r="C24" s="15" t="n"/>
      <c r="D24" s="13" t="n"/>
      <c r="E24" s="21">
        <f>IF(D24=0,0,B24/D24+C24)</f>
        <v/>
      </c>
      <c r="F24" s="15" t="n"/>
      <c r="G24" s="21">
        <f>G23+F24</f>
        <v/>
      </c>
      <c r="H24" s="21">
        <f>IF(E24=0,0,E24-G24)</f>
        <v/>
      </c>
      <c r="I24" s="7">
        <f>IF(G24=0,0,H24/G24)</f>
        <v/>
      </c>
    </row>
    <row r="25">
      <c r="A25" s="20" t="n"/>
      <c r="B25" s="13" t="n"/>
      <c r="C25" s="15" t="n"/>
      <c r="D25" s="13" t="n"/>
      <c r="E25" s="21">
        <f>IF(D25=0,0,B25/D25+C25)</f>
        <v/>
      </c>
      <c r="F25" s="15" t="n"/>
      <c r="G25" s="21">
        <f>G24+F25</f>
        <v/>
      </c>
      <c r="H25" s="21">
        <f>IF(E25=0,0,E25-G25)</f>
        <v/>
      </c>
      <c r="I25" s="7">
        <f>IF(G25=0,0,H25/G25)</f>
        <v/>
      </c>
    </row>
    <row r="26">
      <c r="A26" s="20" t="n"/>
      <c r="B26" s="13" t="n"/>
      <c r="C26" s="15" t="n"/>
      <c r="D26" s="13" t="n"/>
      <c r="E26" s="21">
        <f>IF(D26=0,0,B26/D26+C26)</f>
        <v/>
      </c>
      <c r="F26" s="15" t="n"/>
      <c r="G26" s="21">
        <f>G25+F26</f>
        <v/>
      </c>
      <c r="H26" s="21">
        <f>IF(E26=0,0,E26-G26)</f>
        <v/>
      </c>
      <c r="I26" s="7">
        <f>IF(G26=0,0,H26/G26)</f>
        <v/>
      </c>
    </row>
    <row r="27">
      <c r="A27" s="20" t="n"/>
      <c r="B27" s="13" t="n"/>
      <c r="C27" s="15" t="n"/>
      <c r="D27" s="13" t="n"/>
      <c r="E27" s="21">
        <f>IF(D27=0,0,B27/D27+C27)</f>
        <v/>
      </c>
      <c r="F27" s="15" t="n"/>
      <c r="G27" s="21">
        <f>G26+F27</f>
        <v/>
      </c>
      <c r="H27" s="21">
        <f>IF(E27=0,0,E27-G27)</f>
        <v/>
      </c>
      <c r="I27" s="7">
        <f>IF(G27=0,0,H27/G27)</f>
        <v/>
      </c>
    </row>
    <row r="28">
      <c r="A28" s="20" t="n"/>
      <c r="B28" s="13" t="n"/>
      <c r="C28" s="15" t="n"/>
      <c r="D28" s="13" t="n"/>
      <c r="E28" s="21">
        <f>IF(D28=0,0,B28/D28+C28)</f>
        <v/>
      </c>
      <c r="F28" s="15" t="n"/>
      <c r="G28" s="21">
        <f>G27+F28</f>
        <v/>
      </c>
      <c r="H28" s="21">
        <f>IF(E28=0,0,E28-G28)</f>
        <v/>
      </c>
      <c r="I28" s="7">
        <f>IF(G28=0,0,H28/G28)</f>
        <v/>
      </c>
    </row>
    <row r="29">
      <c r="A29" s="20" t="n"/>
      <c r="B29" s="13" t="n"/>
      <c r="C29" s="15" t="n"/>
      <c r="D29" s="13" t="n"/>
      <c r="E29" s="21">
        <f>IF(D29=0,0,B29/D29+C29)</f>
        <v/>
      </c>
      <c r="F29" s="15" t="n"/>
      <c r="G29" s="21">
        <f>G28+F29</f>
        <v/>
      </c>
      <c r="H29" s="21">
        <f>IF(E29=0,0,E29-G29)</f>
        <v/>
      </c>
      <c r="I29" s="7">
        <f>IF(G29=0,0,H29/G29)</f>
        <v/>
      </c>
    </row>
    <row r="32">
      <c r="A32" s="12" t="inlineStr">
        <is>
          <t>Cómo usarla (una vez por mes):</t>
        </is>
      </c>
    </row>
    <row r="33">
      <c r="A33" s="2" t="inlineStr">
        <is>
          <t>1) Columna B: mirá en Balanz el 'Totales' en PESOS de Acciones + Cedears (no la emergencia) y ponelo acá.</t>
        </is>
      </c>
    </row>
    <row r="34">
      <c r="A34" s="2" t="inlineStr">
        <is>
          <t>2) Columna C: el valor de BAHUSDA en dólares (u$s) que muestra Balanz.</t>
        </is>
      </c>
    </row>
    <row r="35">
      <c r="A35" s="2" t="inlineStr">
        <is>
          <t>3) Columna D: el dólar CCL/MEP del día (lo ves en cualquier pantalla de dólar de Balanz).</t>
        </is>
      </c>
    </row>
    <row r="36">
      <c r="A36" s="2" t="inlineStr">
        <is>
          <t>4) Columna F: cuántos dólares aportaste ese mes (tu aporte en pesos ÷ el CCL de ese día).</t>
        </is>
      </c>
    </row>
    <row r="37">
      <c r="A37" s="2" t="inlineStr">
        <is>
          <t>5) El resto (E, G, H, I) se calcula solo. La columna H es la respuesta: cuánto ganás DE VERDAD, en dólares.</t>
        </is>
      </c>
    </row>
    <row r="38">
      <c r="A38" s="2" t="inlineStr">
        <is>
          <t>Amarillo = editás vos. La fila de 13/08 ya viene cargada como punto de partida (ajustá G7 con tu aporte real total).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2026-08-13T19:24:33Z</dcterms:created>
  <dcterms:modified xsi:type="dcterms:W3CDTF">2026-08-13T19:24:33Z</dcterms:modified>
</cp:coreProperties>
</file>